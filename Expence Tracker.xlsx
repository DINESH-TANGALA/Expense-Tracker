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5f926f7e4530304/Desktop/TEKS/"/>
    </mc:Choice>
  </mc:AlternateContent>
  <xr:revisionPtr revIDLastSave="7" documentId="8_{9681CF48-585A-4C2C-91E6-9838EBE1DBEB}" xr6:coauthVersionLast="47" xr6:coauthVersionMax="47" xr10:uidLastSave="{60DE281B-AF20-4CEF-AF5E-538D14D94FEC}"/>
  <bookViews>
    <workbookView xWindow="-120" yWindow="-120" windowWidth="20730" windowHeight="11160" xr2:uid="{2C4B99D4-0BA8-4A96-B8FA-6B81BC5BC2AE}"/>
  </bookViews>
  <sheets>
    <sheet name="Expence Track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1" i="1" l="1" a="1"/>
  <c r="C11" i="1" s="1"/>
  <c r="C10" i="1" a="1"/>
  <c r="C10" i="1" s="1"/>
  <c r="C16" i="1" a="1"/>
  <c r="C16" i="1" s="1"/>
  <c r="C18" i="1" a="1"/>
  <c r="C18" i="1" s="1"/>
  <c r="F5" i="1"/>
  <c r="E5" i="1"/>
  <c r="G5" i="1"/>
  <c r="H5" i="1"/>
  <c r="I5" i="1"/>
  <c r="K5" i="1"/>
  <c r="L5" i="1"/>
  <c r="M5" i="1"/>
  <c r="D12" i="1"/>
  <c r="D5" i="1" s="1"/>
  <c r="E12" i="1"/>
  <c r="F12" i="1"/>
  <c r="G12" i="1"/>
  <c r="H12" i="1"/>
  <c r="I12" i="1"/>
  <c r="J12" i="1"/>
  <c r="J5" i="1" s="1"/>
  <c r="K12" i="1"/>
  <c r="L12" i="1"/>
  <c r="M12" i="1"/>
  <c r="N12" i="1"/>
  <c r="N5" i="1" s="1"/>
  <c r="D21" i="1"/>
  <c r="D6" i="1" s="1"/>
  <c r="E21" i="1"/>
  <c r="E6" i="1" s="1"/>
  <c r="E7" i="1" s="1"/>
  <c r="F21" i="1"/>
  <c r="F6" i="1" s="1"/>
  <c r="F7" i="1" s="1"/>
  <c r="G21" i="1"/>
  <c r="G6" i="1" s="1"/>
  <c r="G7" i="1" s="1"/>
  <c r="H21" i="1"/>
  <c r="H6" i="1" s="1"/>
  <c r="H7" i="1" s="1"/>
  <c r="I21" i="1"/>
  <c r="I6" i="1" s="1"/>
  <c r="I7" i="1" s="1"/>
  <c r="J21" i="1"/>
  <c r="J6" i="1" s="1"/>
  <c r="K21" i="1"/>
  <c r="K6" i="1" s="1"/>
  <c r="K7" i="1" s="1"/>
  <c r="L21" i="1"/>
  <c r="L6" i="1" s="1"/>
  <c r="L7" i="1" s="1"/>
  <c r="M21" i="1"/>
  <c r="M6" i="1" s="1"/>
  <c r="M7" i="1" s="1"/>
  <c r="N21" i="1"/>
  <c r="N6" i="1" s="1"/>
  <c r="N7" i="1" l="1"/>
  <c r="J7" i="1"/>
  <c r="D7" i="1"/>
  <c r="C12" i="1"/>
  <c r="C5" i="1"/>
  <c r="O12" i="1"/>
  <c r="C21" i="1"/>
  <c r="O21" i="1" s="1"/>
  <c r="C6" i="1" l="1"/>
  <c r="C7" i="1" s="1"/>
  <c r="O7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<sst xmlns="http://schemas.openxmlformats.org/spreadsheetml/2006/main" count="53" uniqueCount="27">
  <si>
    <t>Expense Tracker</t>
  </si>
  <si>
    <t>SUMMERY</t>
  </si>
  <si>
    <t>IN</t>
  </si>
  <si>
    <t>OUT</t>
  </si>
  <si>
    <t>TOTAL</t>
  </si>
  <si>
    <t>INCOME</t>
  </si>
  <si>
    <t>Salary</t>
  </si>
  <si>
    <t>Other</t>
  </si>
  <si>
    <t>EXPENSE</t>
  </si>
  <si>
    <t>Food</t>
  </si>
  <si>
    <t>Entertainment</t>
  </si>
  <si>
    <t>Party</t>
  </si>
  <si>
    <t>Travel</t>
  </si>
  <si>
    <t>Snacks</t>
  </si>
  <si>
    <t>Recharge/Bills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</si>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</sst>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36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0" xfId="0" applyFont="1" applyFill="1"/>
    <xf numFmtId="0" fontId="0" fillId="2" borderId="0" xfId="0" applyFill="1"/>
    <xf numFmtId="0" fontId="0" fillId="0" borderId="0" xfId="0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5" borderId="0" xfId="0" applyFill="1"/>
    <xf numFmtId="0" fontId="1" fillId="3" borderId="0" xfId="0" applyFont="1" applyFill="1" applyAlignment="1">
      <alignment horizontal="center" vertical="center"/>
    </xf>
    <xf numFmtId="0" fontId="0" fillId="6" borderId="0" xfId="0" applyFill="1" applyAlignment="1">
      <alignment horizontal="center" vertical="top"/>
    </xf>
    <xf numFmtId="0" fontId="1" fillId="7" borderId="0" xfId="0" applyFont="1" applyFill="1"/>
    <xf numFmtId="0" fontId="1" fillId="8" borderId="0" xfId="0" applyFont="1" applyFill="1"/>
    <xf numFmtId="0" fontId="0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>
                <a:solidFill>
                  <a:sysClr val="windowText" lastClr="000000"/>
                </a:solidFill>
                <a:latin typeface="Arial Black" panose="020B0A04020102020204" pitchFamily="34" charset="0"/>
              </a:rPr>
              <a:t>INCOME</a:t>
            </a:r>
            <a:r>
              <a:rPr lang="en-IN" baseline="0">
                <a:solidFill>
                  <a:sysClr val="windowText" lastClr="000000"/>
                </a:solidFill>
                <a:latin typeface="Arial Black" panose="020B0A04020102020204" pitchFamily="34" charset="0"/>
              </a:rPr>
              <a:t> VS EXPENCE</a:t>
            </a:r>
            <a:endParaRPr lang="en-IN">
              <a:solidFill>
                <a:sysClr val="windowText" lastClr="000000"/>
              </a:solidFill>
              <a:latin typeface="Arial Black" panose="020B0A040201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'Expence Tracker'!$B$5</c:f>
              <c:strCache>
                <c:ptCount val="1"/>
                <c:pt idx="0">
                  <c:v>IN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'Expence Tracker'!$C$4:$N$4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'Expence Tracker'!$C$5:$N$5</c:f>
              <c:numCache>
                <c:formatCode>General</c:formatCode>
                <c:ptCount val="12"/>
                <c:pt idx="0">
                  <c:v>2000</c:v>
                </c:pt>
                <c:pt idx="1">
                  <c:v>2000</c:v>
                </c:pt>
                <c:pt idx="2">
                  <c:v>2000</c:v>
                </c:pt>
                <c:pt idx="3">
                  <c:v>2000</c:v>
                </c:pt>
                <c:pt idx="4">
                  <c:v>2000</c:v>
                </c:pt>
                <c:pt idx="5">
                  <c:v>2000</c:v>
                </c:pt>
                <c:pt idx="6">
                  <c:v>2000</c:v>
                </c:pt>
                <c:pt idx="7">
                  <c:v>2000</c:v>
                </c:pt>
                <c:pt idx="8">
                  <c:v>2000</c:v>
                </c:pt>
                <c:pt idx="9">
                  <c:v>2000</c:v>
                </c:pt>
                <c:pt idx="10">
                  <c:v>2000</c:v>
                </c:pt>
                <c:pt idx="11">
                  <c:v>2000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48-4133-BC28-ABFDD8720CE5}"/>
            </c:ext>
          </c:extLst>
        </c:ser>
        <c:ser>
          <c:idx val="1"/>
          <c:order val="1"/>
          <c:tx>
            <c:strRef>
              <c:f>'Expence Tracker'!$B$6</c:f>
              <c:strCache>
                <c:ptCount val="1"/>
                <c:pt idx="0">
                  <c:v>OUT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'Expence Tracker'!$C$4:$N$4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'Expence Tracker'!$C$6:$N$6</c:f>
              <c:numCache>
                <c:formatCode>General</c:formatCode>
                <c:ptCount val="12"/>
                <c:pt idx="0">
                  <c:v>2309</c:v>
                </c:pt>
                <c:pt idx="1">
                  <c:v>1569</c:v>
                </c:pt>
                <c:pt idx="2">
                  <c:v>1660</c:v>
                </c:pt>
                <c:pt idx="3">
                  <c:v>1700</c:v>
                </c:pt>
                <c:pt idx="4">
                  <c:v>1959</c:v>
                </c:pt>
                <c:pt idx="5">
                  <c:v>2559</c:v>
                </c:pt>
                <c:pt idx="6">
                  <c:v>1759</c:v>
                </c:pt>
                <c:pt idx="7">
                  <c:v>1810</c:v>
                </c:pt>
                <c:pt idx="8">
                  <c:v>1694</c:v>
                </c:pt>
                <c:pt idx="9">
                  <c:v>2030</c:v>
                </c:pt>
                <c:pt idx="10">
                  <c:v>2219</c:v>
                </c:pt>
                <c:pt idx="11">
                  <c:v>2159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D48-4133-BC28-ABFDD8720C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69375440"/>
        <c:axId val="1369374960"/>
      </c:lineChart>
      <c:catAx>
        <c:axId val="1369375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9374960"/>
        <c:crosses val="autoZero"/>
        <c:auto val="1"/>
        <c:lblAlgn val="ctr"/>
        <c:lblOffset val="100"/>
        <c:noMultiLvlLbl val="0"/>
      </c:catAx>
      <c:valAx>
        <c:axId val="1369374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9375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10584</xdr:colOff>
      <xdr:row>21</xdr:row>
      <xdr:rowOff>20108</xdr:rowOff>
    </xdr:from>
    <xdr:to>
      <xdr:col>15</xdr:col>
      <xdr:colOff>0</xdr:colOff>
      <xdr:row>35</xdr:row>
      <xdr:rowOff>96308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02ADD4E-1372-70FC-F369-0B44A9DC2B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A1F0E-4D7C-4B98-82F1-8F672502CE83}">
  <dimension ref="B1:O21"/>
  <sheetViews>
    <sheetView tabSelected="1" topLeftCell="A16" zoomScale="90" zoomScaleNormal="90" workbookViewId="0">
      <selection activeCell="B4" sqref="B4:N6"/>
    </sheetView>
  </sheetViews>
  <sheetFormatPr defaultRowHeight="15" x14ac:dyDescent="0.25"/>
  <cols>
    <col min="2" max="2" width="13.85546875" bestFit="1" customWidth="1"/>
    <col min="11" max="11" width="10.5703125" bestFit="1" customWidth="1"/>
    <col min="13" max="13" width="10" bestFit="1" customWidth="1"/>
    <col min="14" max="14" width="10.140625" bestFit="1" customWidth="1"/>
  </cols>
  <sheetData>
    <row r="1" spans="2:15" s="2" customFormat="1" ht="42.75" customHeight="1" x14ac:dyDescent="0.7">
      <c r="E1" s="1" t="s">
        <v>0</v>
      </c>
    </row>
    <row r="4" spans="2:15" x14ac:dyDescent="0.25">
      <c r="B4" s="7" t="s">
        <v>1</v>
      </c>
      <c r="C4" s="8" t="s">
        <v>15</v>
      </c>
      <c r="D4" s="8" t="s">
        <v>16</v>
      </c>
      <c r="E4" s="8" t="s">
        <v>17</v>
      </c>
      <c r="F4" s="8" t="s">
        <v>18</v>
      </c>
      <c r="G4" s="8" t="s">
        <v>19</v>
      </c>
      <c r="H4" s="8" t="s">
        <v>20</v>
      </c>
      <c r="I4" s="8" t="s">
        <v>21</v>
      </c>
      <c r="J4" s="8" t="s">
        <v>22</v>
      </c>
      <c r="K4" s="8" t="s">
        <v>23</v>
      </c>
      <c r="L4" s="8" t="s">
        <v>24</v>
      </c>
      <c r="M4" s="8" t="s">
        <v>25</v>
      </c>
      <c r="N4" s="8" t="s">
        <v>26</v>
      </c>
    </row>
    <row r="5" spans="2:15" x14ac:dyDescent="0.25">
      <c r="B5" s="4" t="s">
        <v>2</v>
      </c>
      <c r="C5">
        <f>C12</f>
        <v>2000</v>
      </c>
      <c r="D5">
        <f>D12</f>
        <v>2000</v>
      </c>
      <c r="E5">
        <f>E12</f>
        <v>2000</v>
      </c>
      <c r="F5">
        <f>F12</f>
        <v>2000</v>
      </c>
      <c r="G5">
        <f t="shared" ref="D5:N5" si="0">G12</f>
        <v>2000</v>
      </c>
      <c r="H5">
        <f t="shared" si="0"/>
        <v>2000</v>
      </c>
      <c r="I5">
        <f t="shared" si="0"/>
        <v>2000</v>
      </c>
      <c r="J5">
        <f t="shared" si="0"/>
        <v>2000</v>
      </c>
      <c r="K5">
        <f t="shared" si="0"/>
        <v>2000</v>
      </c>
      <c r="L5">
        <f t="shared" si="0"/>
        <v>2000</v>
      </c>
      <c r="M5">
        <f t="shared" si="0"/>
        <v>2000</v>
      </c>
      <c r="N5">
        <f t="shared" si="0"/>
        <v>2000</v>
      </c>
    </row>
    <row r="6" spans="2:15" x14ac:dyDescent="0.25">
      <c r="B6" s="4" t="s">
        <v>3</v>
      </c>
      <c r="C6">
        <f>C21</f>
        <v>2309</v>
      </c>
      <c r="D6">
        <f t="shared" ref="D6:N6" si="1">D21</f>
        <v>1569</v>
      </c>
      <c r="E6">
        <f t="shared" si="1"/>
        <v>1660</v>
      </c>
      <c r="F6">
        <f t="shared" si="1"/>
        <v>1700</v>
      </c>
      <c r="G6">
        <f t="shared" si="1"/>
        <v>1959</v>
      </c>
      <c r="H6">
        <f t="shared" si="1"/>
        <v>2559</v>
      </c>
      <c r="I6">
        <f t="shared" si="1"/>
        <v>1759</v>
      </c>
      <c r="J6">
        <f t="shared" si="1"/>
        <v>1810</v>
      </c>
      <c r="K6">
        <f t="shared" si="1"/>
        <v>1694</v>
      </c>
      <c r="L6">
        <f t="shared" si="1"/>
        <v>2030</v>
      </c>
      <c r="M6">
        <f t="shared" si="1"/>
        <v>2219</v>
      </c>
      <c r="N6">
        <f t="shared" si="1"/>
        <v>2159</v>
      </c>
    </row>
    <row r="7" spans="2:15" x14ac:dyDescent="0.25">
      <c r="B7" s="5" t="s">
        <v>4</v>
      </c>
      <c r="C7" s="6">
        <f>(C5-C6)</f>
        <v>-309</v>
      </c>
      <c r="D7" s="6">
        <f t="shared" ref="D7:N7" si="2">(D5-D6)</f>
        <v>431</v>
      </c>
      <c r="E7" s="6">
        <f t="shared" si="2"/>
        <v>340</v>
      </c>
      <c r="F7" s="6">
        <f t="shared" si="2"/>
        <v>300</v>
      </c>
      <c r="G7" s="6">
        <f t="shared" si="2"/>
        <v>41</v>
      </c>
      <c r="H7" s="6">
        <f t="shared" si="2"/>
        <v>-559</v>
      </c>
      <c r="I7" s="6">
        <f t="shared" si="2"/>
        <v>241</v>
      </c>
      <c r="J7" s="6">
        <f t="shared" si="2"/>
        <v>190</v>
      </c>
      <c r="K7" s="6">
        <f t="shared" si="2"/>
        <v>306</v>
      </c>
      <c r="L7" s="6">
        <f t="shared" si="2"/>
        <v>-30</v>
      </c>
      <c r="M7" s="6">
        <f t="shared" si="2"/>
        <v>-219</v>
      </c>
      <c r="N7" s="6">
        <f t="shared" si="2"/>
        <v>-159</v>
      </c>
      <c r="O7" s="11">
        <f>SUM(C7:N7)</f>
        <v>573</v>
      </c>
    </row>
    <row r="8" spans="2:15" x14ac:dyDescent="0.25">
      <c r="B8" s="3"/>
    </row>
    <row r="9" spans="2:15" x14ac:dyDescent="0.25">
      <c r="B9" s="7" t="s">
        <v>5</v>
      </c>
      <c r="C9" s="8" t="s">
        <v>15</v>
      </c>
      <c r="D9" s="8" t="s">
        <v>16</v>
      </c>
      <c r="E9" s="8" t="s">
        <v>17</v>
      </c>
      <c r="F9" s="8" t="s">
        <v>18</v>
      </c>
      <c r="G9" s="8" t="s">
        <v>19</v>
      </c>
      <c r="H9" s="8" t="s">
        <v>20</v>
      </c>
      <c r="I9" s="8" t="s">
        <v>21</v>
      </c>
      <c r="J9" s="8" t="s">
        <v>22</v>
      </c>
      <c r="K9" s="8" t="s">
        <v>23</v>
      </c>
      <c r="L9" s="8" t="s">
        <v>24</v>
      </c>
      <c r="M9" s="8" t="s">
        <v>25</v>
      </c>
      <c r="N9" s="8" t="s">
        <v>26</v>
      </c>
    </row>
    <row r="10" spans="2:15" x14ac:dyDescent="0.25">
      <c r="B10" s="4" t="s">
        <v>6</v>
      </c>
      <c r="C10" cm="1">
        <f t="array" ref="C10:N10">_xlfn.SEQUENCE(1,12,0,0)</f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2:15" x14ac:dyDescent="0.25">
      <c r="B11" s="4" t="s">
        <v>7</v>
      </c>
      <c r="C11" cm="1">
        <f t="array" ref="C11:N11">_xlfn.SEQUENCE(1,12,2000,0)</f>
        <v>2000</v>
      </c>
      <c r="D11">
        <v>2000</v>
      </c>
      <c r="E11">
        <v>2000</v>
      </c>
      <c r="F11">
        <v>2000</v>
      </c>
      <c r="G11">
        <v>2000</v>
      </c>
      <c r="H11">
        <v>2000</v>
      </c>
      <c r="I11">
        <v>2000</v>
      </c>
      <c r="J11">
        <v>2000</v>
      </c>
      <c r="K11">
        <v>2000</v>
      </c>
      <c r="L11">
        <v>2000</v>
      </c>
      <c r="M11">
        <v>2000</v>
      </c>
      <c r="N11">
        <v>2000</v>
      </c>
    </row>
    <row r="12" spans="2:15" x14ac:dyDescent="0.25">
      <c r="B12" s="5" t="s">
        <v>4</v>
      </c>
      <c r="C12" s="5">
        <f>SUM(C10:C11)</f>
        <v>2000</v>
      </c>
      <c r="D12" s="5">
        <f t="shared" ref="D12:N12" si="3">SUM(D10:D11)</f>
        <v>2000</v>
      </c>
      <c r="E12" s="5">
        <f t="shared" si="3"/>
        <v>2000</v>
      </c>
      <c r="F12" s="5">
        <f t="shared" si="3"/>
        <v>2000</v>
      </c>
      <c r="G12" s="5">
        <f t="shared" si="3"/>
        <v>2000</v>
      </c>
      <c r="H12" s="5">
        <f t="shared" si="3"/>
        <v>2000</v>
      </c>
      <c r="I12" s="5">
        <f t="shared" si="3"/>
        <v>2000</v>
      </c>
      <c r="J12" s="5">
        <f t="shared" si="3"/>
        <v>2000</v>
      </c>
      <c r="K12" s="5">
        <f t="shared" si="3"/>
        <v>2000</v>
      </c>
      <c r="L12" s="5">
        <f t="shared" si="3"/>
        <v>2000</v>
      </c>
      <c r="M12" s="5">
        <f t="shared" si="3"/>
        <v>2000</v>
      </c>
      <c r="N12" s="5">
        <f t="shared" si="3"/>
        <v>2000</v>
      </c>
      <c r="O12" s="9">
        <f>SUM(C12:N12)</f>
        <v>24000</v>
      </c>
    </row>
    <row r="13" spans="2:15" x14ac:dyDescent="0.25">
      <c r="B13" s="3"/>
    </row>
    <row r="14" spans="2:15" x14ac:dyDescent="0.25">
      <c r="B14" s="7" t="s">
        <v>8</v>
      </c>
      <c r="C14" s="8" t="s">
        <v>15</v>
      </c>
      <c r="D14" s="8" t="s">
        <v>16</v>
      </c>
      <c r="E14" s="8" t="s">
        <v>17</v>
      </c>
      <c r="F14" s="8" t="s">
        <v>18</v>
      </c>
      <c r="G14" s="8" t="s">
        <v>19</v>
      </c>
      <c r="H14" s="8" t="s">
        <v>20</v>
      </c>
      <c r="I14" s="8" t="s">
        <v>21</v>
      </c>
      <c r="J14" s="8" t="s">
        <v>22</v>
      </c>
      <c r="K14" s="8" t="s">
        <v>23</v>
      </c>
      <c r="L14" s="8" t="s">
        <v>24</v>
      </c>
      <c r="M14" s="8" t="s">
        <v>25</v>
      </c>
      <c r="N14" s="8" t="s">
        <v>26</v>
      </c>
    </row>
    <row r="15" spans="2:15" x14ac:dyDescent="0.25">
      <c r="B15" s="4" t="s">
        <v>9</v>
      </c>
      <c r="C15">
        <v>520</v>
      </c>
      <c r="D15">
        <v>460</v>
      </c>
      <c r="E15">
        <v>390</v>
      </c>
      <c r="F15">
        <v>440</v>
      </c>
      <c r="G15">
        <v>580</v>
      </c>
      <c r="H15">
        <v>900</v>
      </c>
      <c r="I15">
        <v>670</v>
      </c>
      <c r="J15">
        <v>600</v>
      </c>
      <c r="K15">
        <v>380</v>
      </c>
      <c r="L15">
        <v>200</v>
      </c>
      <c r="M15">
        <v>390</v>
      </c>
      <c r="N15">
        <v>500</v>
      </c>
    </row>
    <row r="16" spans="2:15" x14ac:dyDescent="0.25">
      <c r="B16" s="4" t="s">
        <v>10</v>
      </c>
      <c r="C16" cm="1">
        <f t="array" ref="C16:N16">_xlfn.SEQUENCE(1,12,200,0)</f>
        <v>200</v>
      </c>
      <c r="D16">
        <v>200</v>
      </c>
      <c r="E16">
        <v>200</v>
      </c>
      <c r="F16">
        <v>200</v>
      </c>
      <c r="G16">
        <v>200</v>
      </c>
      <c r="H16">
        <v>200</v>
      </c>
      <c r="I16">
        <v>200</v>
      </c>
      <c r="J16">
        <v>200</v>
      </c>
      <c r="K16">
        <v>200</v>
      </c>
      <c r="L16">
        <v>200</v>
      </c>
      <c r="M16">
        <v>200</v>
      </c>
      <c r="N16">
        <v>200</v>
      </c>
    </row>
    <row r="17" spans="2:15" x14ac:dyDescent="0.25">
      <c r="B17" s="4" t="s">
        <v>11</v>
      </c>
      <c r="C17">
        <v>500</v>
      </c>
      <c r="D17">
        <v>0</v>
      </c>
      <c r="E17">
        <v>0</v>
      </c>
      <c r="F17">
        <v>0</v>
      </c>
      <c r="G17">
        <v>0</v>
      </c>
      <c r="H17">
        <v>500</v>
      </c>
      <c r="I17">
        <v>0</v>
      </c>
      <c r="J17">
        <v>0</v>
      </c>
      <c r="K17">
        <v>0</v>
      </c>
      <c r="L17">
        <v>500</v>
      </c>
      <c r="M17">
        <v>450</v>
      </c>
      <c r="N17">
        <v>500</v>
      </c>
    </row>
    <row r="18" spans="2:15" x14ac:dyDescent="0.25">
      <c r="B18" s="4" t="s">
        <v>12</v>
      </c>
      <c r="C18" cm="1">
        <f t="array" ref="C18:N18">_xlfn.SEQUENCE(1,12,440,0)</f>
        <v>440</v>
      </c>
      <c r="D18">
        <v>440</v>
      </c>
      <c r="E18">
        <v>440</v>
      </c>
      <c r="F18">
        <v>440</v>
      </c>
      <c r="G18">
        <v>440</v>
      </c>
      <c r="H18">
        <v>440</v>
      </c>
      <c r="I18">
        <v>440</v>
      </c>
      <c r="J18">
        <v>440</v>
      </c>
      <c r="K18">
        <v>440</v>
      </c>
      <c r="L18">
        <v>440</v>
      </c>
      <c r="M18">
        <v>440</v>
      </c>
      <c r="N18">
        <v>440</v>
      </c>
    </row>
    <row r="19" spans="2:15" x14ac:dyDescent="0.25">
      <c r="B19" s="4" t="s">
        <v>13</v>
      </c>
      <c r="C19">
        <v>400</v>
      </c>
      <c r="D19">
        <v>220</v>
      </c>
      <c r="E19">
        <v>280</v>
      </c>
      <c r="F19">
        <v>320</v>
      </c>
      <c r="G19">
        <v>440</v>
      </c>
      <c r="H19">
        <v>220</v>
      </c>
      <c r="I19">
        <v>200</v>
      </c>
      <c r="J19">
        <v>220</v>
      </c>
      <c r="K19">
        <v>324</v>
      </c>
      <c r="L19">
        <v>360</v>
      </c>
      <c r="M19">
        <v>440</v>
      </c>
      <c r="N19">
        <v>220</v>
      </c>
    </row>
    <row r="20" spans="2:15" x14ac:dyDescent="0.25">
      <c r="B20" s="4" t="s">
        <v>14</v>
      </c>
      <c r="C20">
        <v>249</v>
      </c>
      <c r="D20">
        <v>249</v>
      </c>
      <c r="E20">
        <v>350</v>
      </c>
      <c r="F20">
        <v>300</v>
      </c>
      <c r="G20">
        <v>299</v>
      </c>
      <c r="H20">
        <v>299</v>
      </c>
      <c r="I20">
        <v>249</v>
      </c>
      <c r="J20">
        <v>350</v>
      </c>
      <c r="K20">
        <v>350</v>
      </c>
      <c r="L20">
        <v>330</v>
      </c>
      <c r="M20">
        <v>299</v>
      </c>
      <c r="N20">
        <v>299</v>
      </c>
    </row>
    <row r="21" spans="2:15" x14ac:dyDescent="0.25">
      <c r="B21" s="5" t="s">
        <v>4</v>
      </c>
      <c r="C21" s="5">
        <f>SUM(C15:C20)</f>
        <v>2309</v>
      </c>
      <c r="D21" s="5">
        <f t="shared" ref="D21:N21" si="4">SUM(D15:D20)</f>
        <v>1569</v>
      </c>
      <c r="E21" s="5">
        <f t="shared" si="4"/>
        <v>1660</v>
      </c>
      <c r="F21" s="5">
        <f t="shared" si="4"/>
        <v>1700</v>
      </c>
      <c r="G21" s="5">
        <f t="shared" si="4"/>
        <v>1959</v>
      </c>
      <c r="H21" s="5">
        <f t="shared" si="4"/>
        <v>2559</v>
      </c>
      <c r="I21" s="5">
        <f t="shared" si="4"/>
        <v>1759</v>
      </c>
      <c r="J21" s="5">
        <f t="shared" si="4"/>
        <v>1810</v>
      </c>
      <c r="K21" s="5">
        <f t="shared" si="4"/>
        <v>1694</v>
      </c>
      <c r="L21" s="5">
        <f t="shared" si="4"/>
        <v>2030</v>
      </c>
      <c r="M21" s="5">
        <f t="shared" si="4"/>
        <v>2219</v>
      </c>
      <c r="N21" s="5">
        <f t="shared" si="4"/>
        <v>2159</v>
      </c>
      <c r="O21" s="10">
        <f>SUM(C21:N21)</f>
        <v>23427</v>
      </c>
    </row>
  </sheetData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Expence Tracker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Dinesh Tangala</dc:creator>
  <cp:lastModifiedBy>Dinesh Tangala</cp:lastModifiedBy>
  <dcterms:created xsi:type="dcterms:W3CDTF">2025-11-12T18:53:06Z</dcterms:created>
  <dcterms:modified xsi:type="dcterms:W3CDTF">2025-11-12T19:22:24Z</dcterms:modified>
</cp:coreProperties>
</file>